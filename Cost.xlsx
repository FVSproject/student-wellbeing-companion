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2026-2027\Student Wellbeing Companion\"/>
    </mc:Choice>
  </mc:AlternateContent>
  <xr:revisionPtr revIDLastSave="0" documentId="13_ncr:1_{5AD4A443-E971-4CEE-8498-738C860665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29" i="1"/>
  <c r="O18" i="1"/>
  <c r="G18" i="1"/>
  <c r="K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Belal Ali</author>
    <author>Yousef Ali</author>
  </authors>
  <commentList>
    <comment ref="G6" authorId="0" shapeId="0" xr:uid="{DEF5F649-6188-4994-A39F-602874AD364C}">
      <text>
        <r>
          <rPr>
            <b/>
            <sz val="9"/>
            <color indexed="81"/>
            <rFont val="Tahoma"/>
            <family val="2"/>
          </rPr>
          <t>Belal Ali:</t>
        </r>
        <r>
          <rPr>
            <sz val="9"/>
            <color indexed="81"/>
            <rFont val="Tahoma"/>
            <family val="2"/>
          </rPr>
          <t xml:space="preserve">
done</t>
        </r>
      </text>
    </comment>
    <comment ref="G7" authorId="0" shapeId="0" xr:uid="{49FB9D3D-F294-46BE-8E3C-E5DE0A148C52}">
      <text>
        <r>
          <rPr>
            <b/>
            <sz val="9"/>
            <color indexed="81"/>
            <rFont val="Tahoma"/>
            <family val="2"/>
          </rPr>
          <t>Belal Ali:</t>
        </r>
        <r>
          <rPr>
            <sz val="9"/>
            <color indexed="81"/>
            <rFont val="Tahoma"/>
            <family val="2"/>
          </rPr>
          <t xml:space="preserve">
still
</t>
        </r>
      </text>
    </comment>
    <comment ref="J10" authorId="1" shapeId="0" xr:uid="{9AD95D3F-9607-4184-B06A-F1B147D040B6}">
      <text>
        <r>
          <rPr>
            <b/>
            <sz val="9"/>
            <color indexed="81"/>
            <rFont val="Tahoma"/>
            <family val="2"/>
          </rPr>
          <t>Yousef Ali:</t>
        </r>
        <r>
          <rPr>
            <sz val="9"/>
            <color indexed="81"/>
            <rFont val="Tahoma"/>
            <family val="2"/>
          </rPr>
          <t xml:space="preserve">
Co2, Economical, Case study</t>
        </r>
      </text>
    </comment>
  </commentList>
</comments>
</file>

<file path=xl/sharedStrings.xml><?xml version="1.0" encoding="utf-8"?>
<sst xmlns="http://schemas.openxmlformats.org/spreadsheetml/2006/main" count="38" uniqueCount="27">
  <si>
    <t>Cost Analysis</t>
  </si>
  <si>
    <t>Components</t>
  </si>
  <si>
    <t>Price</t>
  </si>
  <si>
    <t>Proejct:</t>
  </si>
  <si>
    <t>no#.</t>
  </si>
  <si>
    <t>Hardwork</t>
  </si>
  <si>
    <t>work</t>
  </si>
  <si>
    <t>Softwork</t>
  </si>
  <si>
    <t>Total Cost</t>
  </si>
  <si>
    <t>Total Cost work:</t>
  </si>
  <si>
    <t>Cost I ask for</t>
  </si>
  <si>
    <t>Profit</t>
  </si>
  <si>
    <t>Date</t>
  </si>
  <si>
    <t>Meetings / Consulting</t>
  </si>
  <si>
    <t>Student Wellbeing Companion</t>
  </si>
  <si>
    <t>MAX30102 heart rate / SpO2 sensor module</t>
  </si>
  <si>
    <t>Seeed Grove GSR (galvanic skin response) sensor</t>
  </si>
  <si>
    <t>GY-906 MLX90614 contactless temperature sensor</t>
  </si>
  <si>
    <t>MPU-6050 accelerometer / gyroscope</t>
  </si>
  <si>
    <t>INMP441 I2S MEMS microphone module</t>
  </si>
  <si>
    <t>ESP32 DevKitC-32 (WROOM, WiFi+BT, 38-pin)</t>
  </si>
  <si>
    <t>LiPo battery 3.7V 1000mAh</t>
  </si>
  <si>
    <t>JSD19 1S battery charger + boost module</t>
  </si>
  <si>
    <t>Jumper wires, Male-to-Male, 40pcs, 20cm</t>
  </si>
  <si>
    <t xml:space="preserve">Filament 3D design </t>
  </si>
  <si>
    <t>Website</t>
  </si>
  <si>
    <t>Connection and soldering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</si>
</sst>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theme="5" tint="-0.249977111117893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0070C0"/>
      <name val="Calibri"/>
      <family val="2"/>
      <scheme val="minor"/>
    </font>
    <font>
      <sz val="8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2" xfId="0" applyFont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vertical="center"/>
    </xf>
    <xf numFmtId="0" fontId="3" fillId="7" borderId="5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0" fontId="3" fillId="5" borderId="3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53340</xdr:colOff>
          <xdr:row>4</xdr:row>
          <xdr:rowOff>175260</xdr:rowOff>
        </xdr:from>
        <xdr:to>
          <xdr:col>11</xdr:col>
          <xdr:colOff>297180</xdr:colOff>
          <xdr:row>6</xdr:row>
          <xdr:rowOff>30480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</xdr:colOff>
          <xdr:row>4</xdr:row>
          <xdr:rowOff>160020</xdr:rowOff>
        </xdr:from>
        <xdr:to>
          <xdr:col>7</xdr:col>
          <xdr:colOff>266700</xdr:colOff>
          <xdr:row>6</xdr:row>
          <xdr:rowOff>15240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49754</xdr:colOff>
          <xdr:row>27</xdr:row>
          <xdr:rowOff>160021</xdr:rowOff>
        </xdr:from>
        <xdr:to>
          <xdr:col>3</xdr:col>
          <xdr:colOff>293594</xdr:colOff>
          <xdr:row>29</xdr:row>
          <xdr:rowOff>15240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698D1FEF-861C-2566-63C9-5DDF5AA790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Box 4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mments" Target="../comments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zoomScale="85" zoomScaleNormal="85" workbookViewId="0">
      <selection activeCell="I26" sqref="I26"/>
    </sheetView>
  </sheetViews>
  <sheetFormatPr defaultRowHeight="14.4" x14ac:dyDescent="0.3"/>
  <cols>
    <col min="2" max="2" width="33.5546875" customWidth="1"/>
    <col min="3" max="3" width="20.33203125" customWidth="1"/>
    <col min="5" max="5" width="13" customWidth="1"/>
    <col min="6" max="6" width="21.88671875" bestFit="1" customWidth="1"/>
    <col min="7" max="7" width="17.5546875" bestFit="1" customWidth="1"/>
    <col min="10" max="10" width="15.6640625" customWidth="1"/>
    <col min="14" max="14" width="16.6640625" customWidth="1"/>
  </cols>
  <sheetData>
    <row r="1" spans="1:15" ht="27.6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9"/>
    </row>
    <row r="2" spans="1:15" ht="31.2" x14ac:dyDescent="0.3">
      <c r="A2" s="21" t="s">
        <v>3</v>
      </c>
      <c r="B2" s="22"/>
      <c r="C2" s="15" t="s">
        <v>14</v>
      </c>
      <c r="D2" s="23" t="s">
        <v>9</v>
      </c>
      <c r="E2" s="24"/>
      <c r="F2" s="5">
        <f>C29+G18+K18</f>
        <v>1369.944</v>
      </c>
      <c r="G2" s="6" t="s">
        <v>10</v>
      </c>
      <c r="H2" s="20">
        <v>0</v>
      </c>
      <c r="I2" s="20"/>
      <c r="J2" s="7" t="s">
        <v>11</v>
      </c>
      <c r="K2" s="7"/>
      <c r="L2" s="4"/>
    </row>
    <row r="3" spans="1:15" ht="2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5" ht="24" customHeight="1" x14ac:dyDescent="0.3">
      <c r="A4" s="25" t="s">
        <v>1</v>
      </c>
      <c r="B4" s="25"/>
      <c r="C4" s="25"/>
      <c r="E4" s="26" t="s">
        <v>5</v>
      </c>
      <c r="F4" s="26"/>
      <c r="G4" s="26"/>
      <c r="I4" s="27" t="s">
        <v>7</v>
      </c>
      <c r="J4" s="27"/>
      <c r="K4" s="27"/>
      <c r="M4" s="16" t="s">
        <v>13</v>
      </c>
      <c r="N4" s="16"/>
      <c r="O4" s="16"/>
    </row>
    <row r="5" spans="1:15" x14ac:dyDescent="0.3">
      <c r="A5" s="2" t="s">
        <v>4</v>
      </c>
      <c r="B5" s="2" t="s">
        <v>1</v>
      </c>
      <c r="C5" s="2" t="s">
        <v>2</v>
      </c>
      <c r="E5" s="2" t="s">
        <v>4</v>
      </c>
      <c r="F5" s="2" t="s">
        <v>6</v>
      </c>
      <c r="G5" s="2" t="s">
        <v>2</v>
      </c>
      <c r="I5" s="2" t="s">
        <v>4</v>
      </c>
      <c r="J5" s="2" t="s">
        <v>6</v>
      </c>
      <c r="K5" s="2" t="s">
        <v>2</v>
      </c>
      <c r="M5" s="2" t="s">
        <v>4</v>
      </c>
      <c r="N5" s="2" t="s">
        <v>12</v>
      </c>
      <c r="O5" s="2" t="s">
        <v>2</v>
      </c>
    </row>
    <row r="6" spans="1:15" x14ac:dyDescent="0.3">
      <c r="A6" s="8">
        <v>1</v>
      </c>
      <c r="B6" s="3" t="s">
        <v>15</v>
      </c>
      <c r="C6" s="11">
        <v>39</v>
      </c>
      <c r="E6" s="8">
        <v>1</v>
      </c>
      <c r="F6" s="11" t="s">
        <v>26</v>
      </c>
      <c r="G6" s="11">
        <v>400</v>
      </c>
      <c r="I6" s="11">
        <v>1</v>
      </c>
      <c r="J6" s="11" t="s">
        <v>25</v>
      </c>
      <c r="K6" s="11">
        <v>400</v>
      </c>
      <c r="M6" s="8">
        <v>1</v>
      </c>
      <c r="N6" s="13"/>
      <c r="O6" s="8"/>
    </row>
    <row r="7" spans="1:15" x14ac:dyDescent="0.3">
      <c r="A7" s="8">
        <v>2</v>
      </c>
      <c r="B7" s="3" t="s">
        <v>16</v>
      </c>
      <c r="C7" s="11">
        <v>125</v>
      </c>
      <c r="E7" s="8">
        <v>2</v>
      </c>
      <c r="F7" s="11"/>
      <c r="G7" s="11"/>
      <c r="I7" s="11">
        <v>2</v>
      </c>
      <c r="J7" s="11"/>
      <c r="K7" s="11"/>
      <c r="M7" s="8">
        <v>2</v>
      </c>
      <c r="N7" s="13"/>
      <c r="O7" s="8"/>
    </row>
    <row r="8" spans="1:15" x14ac:dyDescent="0.3">
      <c r="A8" s="8">
        <v>3</v>
      </c>
      <c r="B8" s="3" t="s">
        <v>17</v>
      </c>
      <c r="C8" s="11">
        <v>47.954999999999998</v>
      </c>
      <c r="E8" s="8">
        <v>3</v>
      </c>
      <c r="F8" s="8"/>
      <c r="G8" s="8"/>
      <c r="I8" s="11">
        <v>3</v>
      </c>
      <c r="J8" s="11"/>
      <c r="K8" s="11"/>
      <c r="M8" s="8">
        <v>3</v>
      </c>
      <c r="N8" s="13"/>
      <c r="O8" s="8"/>
    </row>
    <row r="9" spans="1:15" x14ac:dyDescent="0.3">
      <c r="A9" s="8">
        <v>4</v>
      </c>
      <c r="B9" s="10" t="s">
        <v>18</v>
      </c>
      <c r="C9" s="8">
        <v>46</v>
      </c>
      <c r="E9" s="3"/>
      <c r="F9" s="11"/>
      <c r="G9" s="11"/>
      <c r="I9" s="8">
        <v>5</v>
      </c>
      <c r="J9" s="12"/>
      <c r="K9" s="8"/>
      <c r="M9" s="8">
        <v>4</v>
      </c>
      <c r="N9" s="13"/>
      <c r="O9" s="8"/>
    </row>
    <row r="10" spans="1:15" x14ac:dyDescent="0.3">
      <c r="A10" s="8">
        <v>5</v>
      </c>
      <c r="B10" s="3" t="s">
        <v>19</v>
      </c>
      <c r="C10" s="11">
        <v>23.413999999999998</v>
      </c>
      <c r="E10" s="8"/>
      <c r="F10" s="12"/>
      <c r="G10" s="8"/>
      <c r="I10" s="11">
        <v>6</v>
      </c>
      <c r="J10" s="12"/>
      <c r="K10" s="11"/>
      <c r="M10" s="8">
        <v>5</v>
      </c>
      <c r="N10" s="14"/>
      <c r="O10" s="8"/>
    </row>
    <row r="11" spans="1:15" x14ac:dyDescent="0.3">
      <c r="A11" s="8">
        <v>6</v>
      </c>
      <c r="B11" s="3" t="s">
        <v>20</v>
      </c>
      <c r="C11" s="11">
        <v>46.574999999999996</v>
      </c>
      <c r="E11" s="8"/>
      <c r="F11" s="11"/>
      <c r="G11" s="11"/>
      <c r="I11" s="11"/>
      <c r="J11" s="11"/>
      <c r="K11" s="11"/>
      <c r="M11" s="11">
        <v>6</v>
      </c>
      <c r="N11" s="8"/>
      <c r="O11" s="8"/>
    </row>
    <row r="12" spans="1:15" x14ac:dyDescent="0.3">
      <c r="A12" s="8">
        <v>7</v>
      </c>
      <c r="B12" s="3" t="s">
        <v>21</v>
      </c>
      <c r="C12" s="11">
        <v>30</v>
      </c>
      <c r="E12" s="8"/>
      <c r="F12" s="11"/>
      <c r="G12" s="11"/>
      <c r="I12" s="11"/>
      <c r="J12" s="11"/>
      <c r="K12" s="11"/>
      <c r="M12" s="11">
        <v>7</v>
      </c>
      <c r="N12" s="8"/>
      <c r="O12" s="8"/>
    </row>
    <row r="13" spans="1:15" x14ac:dyDescent="0.3">
      <c r="A13" s="8">
        <v>8</v>
      </c>
      <c r="B13" s="3" t="s">
        <v>22</v>
      </c>
      <c r="C13" s="11">
        <v>13</v>
      </c>
      <c r="E13" s="8"/>
      <c r="F13" s="3"/>
      <c r="G13" s="3"/>
      <c r="I13" s="11"/>
      <c r="J13" s="11"/>
      <c r="K13" s="11"/>
      <c r="M13" s="11"/>
      <c r="N13" s="3"/>
      <c r="O13" s="3"/>
    </row>
    <row r="14" spans="1:15" x14ac:dyDescent="0.3">
      <c r="A14" s="8">
        <v>9</v>
      </c>
      <c r="B14" s="3" t="s">
        <v>23</v>
      </c>
      <c r="C14" s="11">
        <v>20</v>
      </c>
      <c r="E14" s="8"/>
      <c r="F14" s="3"/>
      <c r="G14" s="3"/>
      <c r="I14" s="11"/>
      <c r="J14" s="3"/>
      <c r="K14" s="3"/>
      <c r="M14" s="11"/>
      <c r="N14" s="3"/>
      <c r="O14" s="3"/>
    </row>
    <row r="15" spans="1:15" x14ac:dyDescent="0.3">
      <c r="A15" s="8">
        <v>10</v>
      </c>
      <c r="B15" s="3" t="s">
        <v>24</v>
      </c>
      <c r="C15" s="11">
        <v>179</v>
      </c>
      <c r="E15" s="8"/>
      <c r="F15" s="3"/>
      <c r="G15" s="3"/>
      <c r="I15" s="11"/>
      <c r="J15" s="3"/>
      <c r="K15" s="3"/>
      <c r="M15" s="11"/>
      <c r="N15" s="3"/>
      <c r="O15" s="3"/>
    </row>
    <row r="16" spans="1:15" x14ac:dyDescent="0.3">
      <c r="A16" s="8">
        <v>11</v>
      </c>
      <c r="B16" s="3"/>
      <c r="C16" s="3"/>
      <c r="E16" s="8"/>
      <c r="F16" s="3"/>
      <c r="G16" s="3"/>
      <c r="I16" s="11"/>
      <c r="J16" s="3"/>
      <c r="K16" s="3"/>
      <c r="M16" s="11"/>
      <c r="N16" s="3"/>
      <c r="O16" s="3"/>
    </row>
    <row r="17" spans="1:15" x14ac:dyDescent="0.3">
      <c r="A17" s="8">
        <v>12</v>
      </c>
      <c r="B17" s="3"/>
      <c r="C17" s="3"/>
      <c r="E17" s="8"/>
      <c r="F17" s="3"/>
      <c r="G17" s="3"/>
      <c r="I17" s="11"/>
      <c r="J17" s="3"/>
      <c r="K17" s="3"/>
      <c r="M17" s="11"/>
      <c r="N17" s="3"/>
      <c r="O17" s="3"/>
    </row>
    <row r="18" spans="1:15" x14ac:dyDescent="0.3">
      <c r="A18" s="8">
        <v>13</v>
      </c>
      <c r="B18" s="3"/>
      <c r="C18" s="3"/>
      <c r="E18" s="17" t="s">
        <v>8</v>
      </c>
      <c r="F18" s="17"/>
      <c r="G18" s="9">
        <f>SUM(G6:G17)</f>
        <v>400</v>
      </c>
      <c r="I18" s="17" t="s">
        <v>8</v>
      </c>
      <c r="J18" s="17"/>
      <c r="K18" s="9">
        <f>SUM(K6:K17)</f>
        <v>400</v>
      </c>
      <c r="M18" s="17" t="s">
        <v>8</v>
      </c>
      <c r="N18" s="17"/>
      <c r="O18" s="9">
        <f>SUM(O6:O17)</f>
        <v>0</v>
      </c>
    </row>
    <row r="19" spans="1:15" x14ac:dyDescent="0.3">
      <c r="A19" s="8">
        <v>14</v>
      </c>
      <c r="B19" s="3"/>
      <c r="C19" s="3"/>
    </row>
    <row r="20" spans="1:15" x14ac:dyDescent="0.3">
      <c r="A20" s="8">
        <v>15</v>
      </c>
      <c r="B20" s="3"/>
      <c r="C20" s="3"/>
    </row>
    <row r="21" spans="1:15" x14ac:dyDescent="0.3">
      <c r="A21" s="8">
        <v>16</v>
      </c>
      <c r="B21" s="3"/>
      <c r="C21" s="3"/>
    </row>
    <row r="22" spans="1:15" x14ac:dyDescent="0.3">
      <c r="A22" s="8">
        <v>17</v>
      </c>
      <c r="B22" s="3"/>
      <c r="C22" s="3"/>
    </row>
    <row r="23" spans="1:15" x14ac:dyDescent="0.3">
      <c r="A23" s="8">
        <v>18</v>
      </c>
      <c r="B23" s="3"/>
      <c r="C23" s="3"/>
    </row>
    <row r="24" spans="1:15" x14ac:dyDescent="0.3">
      <c r="A24" s="8">
        <v>19</v>
      </c>
      <c r="B24" s="3"/>
      <c r="C24" s="3"/>
    </row>
    <row r="25" spans="1:15" x14ac:dyDescent="0.3">
      <c r="A25" s="8">
        <v>20</v>
      </c>
      <c r="B25" s="3"/>
      <c r="C25" s="3"/>
    </row>
    <row r="26" spans="1:15" x14ac:dyDescent="0.3">
      <c r="A26" s="8">
        <v>21</v>
      </c>
      <c r="B26" s="3"/>
      <c r="C26" s="3"/>
    </row>
    <row r="27" spans="1:15" x14ac:dyDescent="0.3">
      <c r="A27" s="8">
        <v>22</v>
      </c>
      <c r="B27" s="3"/>
      <c r="C27" s="3"/>
    </row>
    <row r="28" spans="1:15" x14ac:dyDescent="0.3">
      <c r="A28" s="8">
        <v>23</v>
      </c>
      <c r="B28" s="3"/>
      <c r="C28" s="3"/>
    </row>
    <row r="29" spans="1:15" x14ac:dyDescent="0.3">
      <c r="A29" s="17" t="s">
        <v>8</v>
      </c>
      <c r="B29" s="17"/>
      <c r="C29" s="9">
        <f>SUM(C6:C28)</f>
        <v>569.94399999999996</v>
      </c>
    </row>
  </sheetData>
  <mergeCells count="12">
    <mergeCell ref="M4:O4"/>
    <mergeCell ref="M18:N18"/>
    <mergeCell ref="A1:L1"/>
    <mergeCell ref="I18:J18"/>
    <mergeCell ref="A29:B29"/>
    <mergeCell ref="E18:F18"/>
    <mergeCell ref="H2:I2"/>
    <mergeCell ref="A2:B2"/>
    <mergeCell ref="D2:E2"/>
    <mergeCell ref="A4:C4"/>
    <mergeCell ref="E4:G4"/>
    <mergeCell ref="I4:K4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3" name="Check Box 5">
              <controlPr defaultSize="0" autoFill="0" autoLine="0" autoPict="0">
                <anchor moveWithCells="1">
                  <from>
                    <xdr:col>11</xdr:col>
                    <xdr:colOff>53340</xdr:colOff>
                    <xdr:row>4</xdr:row>
                    <xdr:rowOff>175260</xdr:rowOff>
                  </from>
                  <to>
                    <xdr:col>11</xdr:col>
                    <xdr:colOff>297180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>
                  <from>
                    <xdr:col>7</xdr:col>
                    <xdr:colOff>22860</xdr:colOff>
                    <xdr:row>4</xdr:row>
                    <xdr:rowOff>160020</xdr:rowOff>
                  </from>
                  <to>
                    <xdr:col>7</xdr:col>
                    <xdr:colOff>266700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>
                  <from>
                    <xdr:col>3</xdr:col>
                    <xdr:colOff>53340</xdr:colOff>
                    <xdr:row>27</xdr:row>
                    <xdr:rowOff>160020</xdr:rowOff>
                  </from>
                  <to>
                    <xdr:col>3</xdr:col>
                    <xdr:colOff>297180</xdr:colOff>
                    <xdr:row>29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Belal Ali</dc:creator>
  <cp:lastModifiedBy>Yousef Ali</cp:lastModifiedBy>
  <dcterms:created xsi:type="dcterms:W3CDTF">2015-06-05T18:17:20Z</dcterms:created>
  <dcterms:modified xsi:type="dcterms:W3CDTF">2026-08-25T15:37:48Z</dcterms:modified>
</cp:coreProperties>
</file>